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Quarry Blo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2540"/>
      <sz val="13"/>
    </font>
    <font>
      <i val="1"/>
      <color rgb="00555555"/>
      <sz val="10"/>
    </font>
    <font>
      <b val="1"/>
      <color rgb="00A32D2D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D4A24A"/>
      </patternFill>
    </fill>
    <fill>
      <patternFill patternType="solid">
        <fgColor rgb="000F2540"/>
      </patternFill>
    </fill>
    <fill>
      <patternFill patternType="solid">
        <fgColor rgb="00B9933E"/>
      </patternFill>
    </fill>
    <fill>
      <patternFill patternType="solid">
        <fgColor rgb="00EAF2FB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2" customWidth="1" min="1" max="1"/>
  </cols>
  <sheetData>
    <row r="1">
      <c r="A1" s="1" t="inlineStr">
        <is>
          <t>Dolphin — Quarry Block (stock master) Import Template</t>
        </is>
      </c>
    </row>
    <row r="2">
      <c r="A2" s="2" t="inlineStr">
        <is>
          <t>Smart working sheet: enter L/W/H and the volume, tonnage &amp; grand totals auto-calculate as you tab out.</t>
        </is>
      </c>
    </row>
    <row r="3">
      <c r="A3" s="3" t="inlineStr"/>
    </row>
    <row r="4">
      <c r="A4" s="3" t="inlineStr">
        <is>
          <t>YOU FILL (white): Block Number, Date, Pit, Gangman, L, W, H, Status, Grade, Size, DMG Factor.</t>
        </is>
      </c>
    </row>
    <row r="5">
      <c r="A5" s="3" t="inlineStr">
        <is>
          <t>AUTO (gold, do not type): Gross Volume = L x W x H / 1,000,000 ; Gross Tonnage = Volume x DMG factor.</t>
        </is>
      </c>
    </row>
    <row r="6">
      <c r="A6" s="3" t="inlineStr">
        <is>
          <t>The TOTAL row at the bottom sums volume &amp; tonnage for all rows you've filled (updates live).</t>
        </is>
      </c>
    </row>
    <row r="7">
      <c r="A7" s="3" t="inlineStr"/>
    </row>
    <row r="8">
      <c r="A8" s="4" t="inlineStr">
        <is>
          <t>BEFORE IMPORTING into ERPNext: delete the grey EXAMPLE row and the navy TOTAL row.</t>
        </is>
      </c>
    </row>
    <row r="9">
      <c r="A9" s="3" t="inlineStr">
        <is>
          <t xml:space="preserve">   ERPNext recomputes volume/tonnage itself, so the auto columns are just for your reference.</t>
        </is>
      </c>
    </row>
    <row r="10">
      <c r="A10" s="3" t="inlineStr">
        <is>
          <t>Then Data Import -&gt; Quarry Block -&gt; upload -&gt; map columns -&gt; Start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1" customWidth="1" min="4" max="4"/>
    <col width="11" customWidth="1" min="5" max="5"/>
    <col width="14" customWidth="1" min="6" max="6"/>
    <col width="13" customWidth="1" min="7" max="7"/>
    <col width="14" customWidth="1" min="8" max="8"/>
    <col width="11" customWidth="1" min="9" max="9"/>
    <col width="11" customWidth="1" min="10" max="10"/>
    <col width="11" customWidth="1" min="11" max="11"/>
    <col width="20" customWidth="1" min="12" max="12"/>
    <col width="20" customWidth="1" min="13" max="13"/>
    <col width="20" customWidth="1" min="14" max="14"/>
  </cols>
  <sheetData>
    <row r="1" ht="24" customHeight="1">
      <c r="A1" s="5" t="inlineStr">
        <is>
          <t>Quarry Block  (stock master)  —  volume, tonnage &amp; totals auto-calculate</t>
        </is>
      </c>
    </row>
    <row r="3" ht="28" customHeight="1">
      <c r="A3" s="6" t="inlineStr">
        <is>
          <t>Block Number</t>
        </is>
      </c>
      <c r="B3" s="6" t="inlineStr">
        <is>
          <t>Block Suffix</t>
        </is>
      </c>
      <c r="C3" s="6" t="inlineStr">
        <is>
          <t>Date Produced</t>
        </is>
      </c>
      <c r="D3" s="6" t="inlineStr">
        <is>
          <t>Pit</t>
        </is>
      </c>
      <c r="E3" s="6" t="inlineStr">
        <is>
          <t>Gangman</t>
        </is>
      </c>
      <c r="F3" s="6" t="inlineStr">
        <is>
          <t>Length Gross</t>
        </is>
      </c>
      <c r="G3" s="6" t="inlineStr">
        <is>
          <t>Width Gross</t>
        </is>
      </c>
      <c r="H3" s="6" t="inlineStr">
        <is>
          <t>Height Gross</t>
        </is>
      </c>
      <c r="I3" s="6" t="inlineStr">
        <is>
          <t>Status</t>
        </is>
      </c>
      <c r="J3" s="6" t="inlineStr">
        <is>
          <t>Grade</t>
        </is>
      </c>
      <c r="K3" s="6" t="inlineStr">
        <is>
          <t>Size</t>
        </is>
      </c>
      <c r="L3" s="6" t="inlineStr">
        <is>
          <t>DMG Tonnage Factor</t>
        </is>
      </c>
      <c r="M3" s="7" t="inlineStr">
        <is>
          <t>Gross Volume (auto)</t>
        </is>
      </c>
      <c r="N3" s="7" t="inlineStr">
        <is>
          <t>Gross Tonnage (auto)</t>
        </is>
      </c>
    </row>
    <row r="4">
      <c r="A4" s="8" t="n">
        <v>1122</v>
      </c>
      <c r="B4" s="8" t="inlineStr"/>
      <c r="C4" s="8" t="inlineStr">
        <is>
          <t>2026-06-14</t>
        </is>
      </c>
      <c r="D4" s="8" t="inlineStr">
        <is>
          <t>7</t>
        </is>
      </c>
      <c r="E4" s="8" t="inlineStr">
        <is>
          <t>Ganesh</t>
        </is>
      </c>
      <c r="F4" s="8" t="n">
        <v>123</v>
      </c>
      <c r="G4" s="8" t="n">
        <v>122</v>
      </c>
      <c r="H4" s="8" t="n">
        <v>126</v>
      </c>
      <c r="I4" s="8" t="inlineStr">
        <is>
          <t>In Stock</t>
        </is>
      </c>
      <c r="J4" s="8" t="inlineStr">
        <is>
          <t>B</t>
        </is>
      </c>
      <c r="K4" s="8" t="inlineStr">
        <is>
          <t>B</t>
        </is>
      </c>
      <c r="L4" s="8" t="inlineStr">
        <is>
          <t>2.60</t>
        </is>
      </c>
      <c r="M4" s="9">
        <f>IF(OR(F4="",G4="",H4=""),"",ROUND(F4*G4*H4/1000000,4))</f>
        <v/>
      </c>
      <c r="N4" s="9">
        <f>IF(OR(M4="",L4=""),"",ROUND(M4*VALUE(L4),2))</f>
        <v/>
      </c>
    </row>
    <row r="5">
      <c r="M5" s="9">
        <f>IF(OR(F5="",G5="",H5=""),"",ROUND(F5*G5*H5/1000000,4))</f>
        <v/>
      </c>
      <c r="N5" s="9">
        <f>IF(OR(M5="",L5=""),"",ROUND(M5*VALUE(L5),2))</f>
        <v/>
      </c>
    </row>
    <row r="6">
      <c r="M6" s="9">
        <f>IF(OR(F6="",G6="",H6=""),"",ROUND(F6*G6*H6/1000000,4))</f>
        <v/>
      </c>
      <c r="N6" s="9">
        <f>IF(OR(M6="",L6=""),"",ROUND(M6*VALUE(L6),2))</f>
        <v/>
      </c>
    </row>
    <row r="7">
      <c r="M7" s="9">
        <f>IF(OR(F7="",G7="",H7=""),"",ROUND(F7*G7*H7/1000000,4))</f>
        <v/>
      </c>
      <c r="N7" s="9">
        <f>IF(OR(M7="",L7=""),"",ROUND(M7*VALUE(L7),2))</f>
        <v/>
      </c>
    </row>
    <row r="8">
      <c r="M8" s="9">
        <f>IF(OR(F8="",G8="",H8=""),"",ROUND(F8*G8*H8/1000000,4))</f>
        <v/>
      </c>
      <c r="N8" s="9">
        <f>IF(OR(M8="",L8=""),"",ROUND(M8*VALUE(L8),2))</f>
        <v/>
      </c>
    </row>
    <row r="9">
      <c r="M9" s="9">
        <f>IF(OR(F9="",G9="",H9=""),"",ROUND(F9*G9*H9/1000000,4))</f>
        <v/>
      </c>
      <c r="N9" s="9">
        <f>IF(OR(M9="",L9=""),"",ROUND(M9*VALUE(L9),2))</f>
        <v/>
      </c>
    </row>
    <row r="10">
      <c r="M10" s="9">
        <f>IF(OR(F10="",G10="",H10=""),"",ROUND(F10*G10*H10/1000000,4))</f>
        <v/>
      </c>
      <c r="N10" s="9">
        <f>IF(OR(M10="",L10=""),"",ROUND(M10*VALUE(L10),2))</f>
        <v/>
      </c>
    </row>
    <row r="11">
      <c r="M11" s="9">
        <f>IF(OR(F11="",G11="",H11=""),"",ROUND(F11*G11*H11/1000000,4))</f>
        <v/>
      </c>
      <c r="N11" s="9">
        <f>IF(OR(M11="",L11=""),"",ROUND(M11*VALUE(L11),2))</f>
        <v/>
      </c>
    </row>
    <row r="12">
      <c r="M12" s="9">
        <f>IF(OR(F12="",G12="",H12=""),"",ROUND(F12*G12*H12/1000000,4))</f>
        <v/>
      </c>
      <c r="N12" s="9">
        <f>IF(OR(M12="",L12=""),"",ROUND(M12*VALUE(L12),2))</f>
        <v/>
      </c>
    </row>
    <row r="13">
      <c r="M13" s="9">
        <f>IF(OR(F13="",G13="",H13=""),"",ROUND(F13*G13*H13/1000000,4))</f>
        <v/>
      </c>
      <c r="N13" s="9">
        <f>IF(OR(M13="",L13=""),"",ROUND(M13*VALUE(L13),2))</f>
        <v/>
      </c>
    </row>
    <row r="14">
      <c r="M14" s="9">
        <f>IF(OR(F14="",G14="",H14=""),"",ROUND(F14*G14*H14/1000000,4))</f>
        <v/>
      </c>
      <c r="N14" s="9">
        <f>IF(OR(M14="",L14=""),"",ROUND(M14*VALUE(L14),2))</f>
        <v/>
      </c>
    </row>
    <row r="15">
      <c r="M15" s="9">
        <f>IF(OR(F15="",G15="",H15=""),"",ROUND(F15*G15*H15/1000000,4))</f>
        <v/>
      </c>
      <c r="N15" s="9">
        <f>IF(OR(M15="",L15=""),"",ROUND(M15*VALUE(L15),2))</f>
        <v/>
      </c>
    </row>
    <row r="16">
      <c r="M16" s="9">
        <f>IF(OR(F16="",G16="",H16=""),"",ROUND(F16*G16*H16/1000000,4))</f>
        <v/>
      </c>
      <c r="N16" s="9">
        <f>IF(OR(M16="",L16=""),"",ROUND(M16*VALUE(L16),2))</f>
        <v/>
      </c>
    </row>
    <row r="17">
      <c r="M17" s="9">
        <f>IF(OR(F17="",G17="",H17=""),"",ROUND(F17*G17*H17/1000000,4))</f>
        <v/>
      </c>
      <c r="N17" s="9">
        <f>IF(OR(M17="",L17=""),"",ROUND(M17*VALUE(L17),2))</f>
        <v/>
      </c>
    </row>
    <row r="18">
      <c r="M18" s="9">
        <f>IF(OR(F18="",G18="",H18=""),"",ROUND(F18*G18*H18/1000000,4))</f>
        <v/>
      </c>
      <c r="N18" s="9">
        <f>IF(OR(M18="",L18=""),"",ROUND(M18*VALUE(L18),2))</f>
        <v/>
      </c>
    </row>
    <row r="19">
      <c r="M19" s="9">
        <f>IF(OR(F19="",G19="",H19=""),"",ROUND(F19*G19*H19/1000000,4))</f>
        <v/>
      </c>
      <c r="N19" s="9">
        <f>IF(OR(M19="",L19=""),"",ROUND(M19*VALUE(L19),2))</f>
        <v/>
      </c>
    </row>
    <row r="20">
      <c r="M20" s="9">
        <f>IF(OR(F20="",G20="",H20=""),"",ROUND(F20*G20*H20/1000000,4))</f>
        <v/>
      </c>
      <c r="N20" s="9">
        <f>IF(OR(M20="",L20=""),"",ROUND(M20*VALUE(L20),2))</f>
        <v/>
      </c>
    </row>
    <row r="21">
      <c r="M21" s="9">
        <f>IF(OR(F21="",G21="",H21=""),"",ROUND(F21*G21*H21/1000000,4))</f>
        <v/>
      </c>
      <c r="N21" s="9">
        <f>IF(OR(M21="",L21=""),"",ROUND(M21*VALUE(L21),2))</f>
        <v/>
      </c>
    </row>
    <row r="22">
      <c r="M22" s="9">
        <f>IF(OR(F22="",G22="",H22=""),"",ROUND(F22*G22*H22/1000000,4))</f>
        <v/>
      </c>
      <c r="N22" s="9">
        <f>IF(OR(M22="",L22=""),"",ROUND(M22*VALUE(L22),2))</f>
        <v/>
      </c>
    </row>
    <row r="23">
      <c r="M23" s="9">
        <f>IF(OR(F23="",G23="",H23=""),"",ROUND(F23*G23*H23/1000000,4))</f>
        <v/>
      </c>
      <c r="N23" s="9">
        <f>IF(OR(M23="",L23=""),"",ROUND(M23*VALUE(L23),2))</f>
        <v/>
      </c>
    </row>
    <row r="24">
      <c r="M24" s="9">
        <f>IF(OR(F24="",G24="",H24=""),"",ROUND(F24*G24*H24/1000000,4))</f>
        <v/>
      </c>
      <c r="N24" s="9">
        <f>IF(OR(M24="",L24=""),"",ROUND(M24*VALUE(L24),2))</f>
        <v/>
      </c>
    </row>
    <row r="25">
      <c r="M25" s="9">
        <f>IF(OR(F25="",G25="",H25=""),"",ROUND(F25*G25*H25/1000000,4))</f>
        <v/>
      </c>
      <c r="N25" s="9">
        <f>IF(OR(M25="",L25=""),"",ROUND(M25*VALUE(L25),2))</f>
        <v/>
      </c>
    </row>
    <row r="26">
      <c r="M26" s="9">
        <f>IF(OR(F26="",G26="",H26=""),"",ROUND(F26*G26*H26/1000000,4))</f>
        <v/>
      </c>
      <c r="N26" s="9">
        <f>IF(OR(M26="",L26=""),"",ROUND(M26*VALUE(L26),2))</f>
        <v/>
      </c>
    </row>
    <row r="27">
      <c r="M27" s="9">
        <f>IF(OR(F27="",G27="",H27=""),"",ROUND(F27*G27*H27/1000000,4))</f>
        <v/>
      </c>
      <c r="N27" s="9">
        <f>IF(OR(M27="",L27=""),"",ROUND(M27*VALUE(L27),2))</f>
        <v/>
      </c>
    </row>
    <row r="28">
      <c r="M28" s="9">
        <f>IF(OR(F28="",G28="",H28=""),"",ROUND(F28*G28*H28/1000000,4))</f>
        <v/>
      </c>
      <c r="N28" s="9">
        <f>IF(OR(M28="",L28=""),"",ROUND(M28*VALUE(L28),2))</f>
        <v/>
      </c>
    </row>
    <row r="29">
      <c r="M29" s="9">
        <f>IF(OR(F29="",G29="",H29=""),"",ROUND(F29*G29*H29/1000000,4))</f>
        <v/>
      </c>
      <c r="N29" s="9">
        <f>IF(OR(M29="",L29=""),"",ROUND(M29*VALUE(L29),2))</f>
        <v/>
      </c>
    </row>
    <row r="30">
      <c r="M30" s="9">
        <f>IF(OR(F30="",G30="",H30=""),"",ROUND(F30*G30*H30/1000000,4))</f>
        <v/>
      </c>
      <c r="N30" s="9">
        <f>IF(OR(M30="",L30=""),"",ROUND(M30*VALUE(L30),2))</f>
        <v/>
      </c>
    </row>
    <row r="31">
      <c r="M31" s="9">
        <f>IF(OR(F31="",G31="",H31=""),"",ROUND(F31*G31*H31/1000000,4))</f>
        <v/>
      </c>
      <c r="N31" s="9">
        <f>IF(OR(M31="",L31=""),"",ROUND(M31*VALUE(L31),2))</f>
        <v/>
      </c>
    </row>
    <row r="32">
      <c r="M32" s="9">
        <f>IF(OR(F32="",G32="",H32=""),"",ROUND(F32*G32*H32/1000000,4))</f>
        <v/>
      </c>
      <c r="N32" s="9">
        <f>IF(OR(M32="",L32=""),"",ROUND(M32*VALUE(L32),2))</f>
        <v/>
      </c>
    </row>
    <row r="33">
      <c r="M33" s="9">
        <f>IF(OR(F33="",G33="",H33=""),"",ROUND(F33*G33*H33/1000000,4))</f>
        <v/>
      </c>
      <c r="N33" s="9">
        <f>IF(OR(M33="",L33=""),"",ROUND(M33*VALUE(L33),2))</f>
        <v/>
      </c>
    </row>
    <row r="34">
      <c r="M34" s="9">
        <f>IF(OR(F34="",G34="",H34=""),"",ROUND(F34*G34*H34/1000000,4))</f>
        <v/>
      </c>
      <c r="N34" s="9">
        <f>IF(OR(M34="",L34=""),"",ROUND(M34*VALUE(L34),2))</f>
        <v/>
      </c>
    </row>
    <row r="35">
      <c r="M35" s="9">
        <f>IF(OR(F35="",G35="",H35=""),"",ROUND(F35*G35*H35/1000000,4))</f>
        <v/>
      </c>
      <c r="N35" s="9">
        <f>IF(OR(M35="",L35=""),"",ROUND(M35*VALUE(L35),2))</f>
        <v/>
      </c>
    </row>
    <row r="36">
      <c r="M36" s="9">
        <f>IF(OR(F36="",G36="",H36=""),"",ROUND(F36*G36*H36/1000000,4))</f>
        <v/>
      </c>
      <c r="N36" s="9">
        <f>IF(OR(M36="",L36=""),"",ROUND(M36*VALUE(L36),2))</f>
        <v/>
      </c>
    </row>
    <row r="37">
      <c r="M37" s="9">
        <f>IF(OR(F37="",G37="",H37=""),"",ROUND(F37*G37*H37/1000000,4))</f>
        <v/>
      </c>
      <c r="N37" s="9">
        <f>IF(OR(M37="",L37=""),"",ROUND(M37*VALUE(L37),2))</f>
        <v/>
      </c>
    </row>
    <row r="38">
      <c r="M38" s="9">
        <f>IF(OR(F38="",G38="",H38=""),"",ROUND(F38*G38*H38/1000000,4))</f>
        <v/>
      </c>
      <c r="N38" s="9">
        <f>IF(OR(M38="",L38=""),"",ROUND(M38*VALUE(L38),2))</f>
        <v/>
      </c>
    </row>
    <row r="39">
      <c r="M39" s="9">
        <f>IF(OR(F39="",G39="",H39=""),"",ROUND(F39*G39*H39/1000000,4))</f>
        <v/>
      </c>
      <c r="N39" s="9">
        <f>IF(OR(M39="",L39=""),"",ROUND(M39*VALUE(L39),2))</f>
        <v/>
      </c>
    </row>
    <row r="40">
      <c r="M40" s="9">
        <f>IF(OR(F40="",G40="",H40=""),"",ROUND(F40*G40*H40/1000000,4))</f>
        <v/>
      </c>
      <c r="N40" s="9">
        <f>IF(OR(M40="",L40=""),"",ROUND(M40*VALUE(L40),2))</f>
        <v/>
      </c>
    </row>
    <row r="41">
      <c r="M41" s="9">
        <f>IF(OR(F41="",G41="",H41=""),"",ROUND(F41*G41*H41/1000000,4))</f>
        <v/>
      </c>
      <c r="N41" s="9">
        <f>IF(OR(M41="",L41=""),"",ROUND(M41*VALUE(L41),2))</f>
        <v/>
      </c>
    </row>
    <row r="42">
      <c r="M42" s="9">
        <f>IF(OR(F42="",G42="",H42=""),"",ROUND(F42*G42*H42/1000000,4))</f>
        <v/>
      </c>
      <c r="N42" s="9">
        <f>IF(OR(M42="",L42=""),"",ROUND(M42*VALUE(L42),2))</f>
        <v/>
      </c>
    </row>
    <row r="43">
      <c r="M43" s="9">
        <f>IF(OR(F43="",G43="",H43=""),"",ROUND(F43*G43*H43/1000000,4))</f>
        <v/>
      </c>
      <c r="N43" s="9">
        <f>IF(OR(M43="",L43=""),"",ROUND(M43*VALUE(L43),2))</f>
        <v/>
      </c>
    </row>
    <row r="44">
      <c r="M44" s="9">
        <f>IF(OR(F44="",G44="",H44=""),"",ROUND(F44*G44*H44/1000000,4))</f>
        <v/>
      </c>
      <c r="N44" s="9">
        <f>IF(OR(M44="",L44=""),"",ROUND(M44*VALUE(L44),2))</f>
        <v/>
      </c>
    </row>
    <row r="45">
      <c r="M45" s="9">
        <f>IF(OR(F45="",G45="",H45=""),"",ROUND(F45*G45*H45/1000000,4))</f>
        <v/>
      </c>
      <c r="N45" s="9">
        <f>IF(OR(M45="",L45=""),"",ROUND(M45*VALUE(L45),2))</f>
        <v/>
      </c>
    </row>
    <row r="46">
      <c r="M46" s="9">
        <f>IF(OR(F46="",G46="",H46=""),"",ROUND(F46*G46*H46/1000000,4))</f>
        <v/>
      </c>
      <c r="N46" s="9">
        <f>IF(OR(M46="",L46=""),"",ROUND(M46*VALUE(L46),2))</f>
        <v/>
      </c>
    </row>
    <row r="47">
      <c r="M47" s="9">
        <f>IF(OR(F47="",G47="",H47=""),"",ROUND(F47*G47*H47/1000000,4))</f>
        <v/>
      </c>
      <c r="N47" s="9">
        <f>IF(OR(M47="",L47=""),"",ROUND(M47*VALUE(L47),2))</f>
        <v/>
      </c>
    </row>
    <row r="48">
      <c r="M48" s="9">
        <f>IF(OR(F48="",G48="",H48=""),"",ROUND(F48*G48*H48/1000000,4))</f>
        <v/>
      </c>
      <c r="N48" s="9">
        <f>IF(OR(M48="",L48=""),"",ROUND(M48*VALUE(L48),2))</f>
        <v/>
      </c>
    </row>
    <row r="49">
      <c r="M49" s="9">
        <f>IF(OR(F49="",G49="",H49=""),"",ROUND(F49*G49*H49/1000000,4))</f>
        <v/>
      </c>
      <c r="N49" s="9">
        <f>IF(OR(M49="",L49=""),"",ROUND(M49*VALUE(L49),2))</f>
        <v/>
      </c>
    </row>
    <row r="50">
      <c r="M50" s="9">
        <f>IF(OR(F50="",G50="",H50=""),"",ROUND(F50*G50*H50/1000000,4))</f>
        <v/>
      </c>
      <c r="N50" s="9">
        <f>IF(OR(M50="",L50=""),"",ROUND(M50*VALUE(L50),2))</f>
        <v/>
      </c>
    </row>
    <row r="51">
      <c r="M51" s="9">
        <f>IF(OR(F51="",G51="",H51=""),"",ROUND(F51*G51*H51/1000000,4))</f>
        <v/>
      </c>
      <c r="N51" s="9">
        <f>IF(OR(M51="",L51=""),"",ROUND(M51*VALUE(L51),2))</f>
        <v/>
      </c>
    </row>
    <row r="52">
      <c r="M52" s="9">
        <f>IF(OR(F52="",G52="",H52=""),"",ROUND(F52*G52*H52/1000000,4))</f>
        <v/>
      </c>
      <c r="N52" s="9">
        <f>IF(OR(M52="",L52=""),"",ROUND(M52*VALUE(L52),2))</f>
        <v/>
      </c>
    </row>
    <row r="53">
      <c r="M53" s="9">
        <f>IF(OR(F53="",G53="",H53=""),"",ROUND(F53*G53*H53/1000000,4))</f>
        <v/>
      </c>
      <c r="N53" s="9">
        <f>IF(OR(M53="",L53=""),"",ROUND(M53*VALUE(L53),2))</f>
        <v/>
      </c>
    </row>
    <row r="54">
      <c r="M54" s="9">
        <f>IF(OR(F54="",G54="",H54=""),"",ROUND(F54*G54*H54/1000000,4))</f>
        <v/>
      </c>
      <c r="N54" s="9">
        <f>IF(OR(M54="",L54=""),"",ROUND(M54*VALUE(L54),2))</f>
        <v/>
      </c>
    </row>
    <row r="55">
      <c r="M55" s="9">
        <f>IF(OR(F55="",G55="",H55=""),"",ROUND(F55*G55*H55/1000000,4))</f>
        <v/>
      </c>
      <c r="N55" s="9">
        <f>IF(OR(M55="",L55=""),"",ROUND(M55*VALUE(L55),2))</f>
        <v/>
      </c>
    </row>
    <row r="56">
      <c r="M56" s="9">
        <f>IF(OR(F56="",G56="",H56=""),"",ROUND(F56*G56*H56/1000000,4))</f>
        <v/>
      </c>
      <c r="N56" s="9">
        <f>IF(OR(M56="",L56=""),"",ROUND(M56*VALUE(L56),2))</f>
        <v/>
      </c>
    </row>
    <row r="57">
      <c r="M57" s="9">
        <f>IF(OR(F57="",G57="",H57=""),"",ROUND(F57*G57*H57/1000000,4))</f>
        <v/>
      </c>
      <c r="N57" s="9">
        <f>IF(OR(M57="",L57=""),"",ROUND(M57*VALUE(L57),2))</f>
        <v/>
      </c>
    </row>
    <row r="58">
      <c r="M58" s="9">
        <f>IF(OR(F58="",G58="",H58=""),"",ROUND(F58*G58*H58/1000000,4))</f>
        <v/>
      </c>
      <c r="N58" s="9">
        <f>IF(OR(M58="",L58=""),"",ROUND(M58*VALUE(L58),2))</f>
        <v/>
      </c>
    </row>
    <row r="59">
      <c r="M59" s="9">
        <f>IF(OR(F59="",G59="",H59=""),"",ROUND(F59*G59*H59/1000000,4))</f>
        <v/>
      </c>
      <c r="N59" s="9">
        <f>IF(OR(M59="",L59=""),"",ROUND(M59*VALUE(L59),2))</f>
        <v/>
      </c>
    </row>
    <row r="60">
      <c r="M60" s="9">
        <f>IF(OR(F60="",G60="",H60=""),"",ROUND(F60*G60*H60/1000000,4))</f>
        <v/>
      </c>
      <c r="N60" s="9">
        <f>IF(OR(M60="",L60=""),"",ROUND(M60*VALUE(L60),2))</f>
        <v/>
      </c>
    </row>
    <row r="61">
      <c r="M61" s="9">
        <f>IF(OR(F61="",G61="",H61=""),"",ROUND(F61*G61*H61/1000000,4))</f>
        <v/>
      </c>
      <c r="N61" s="9">
        <f>IF(OR(M61="",L61=""),"",ROUND(M61*VALUE(L61),2))</f>
        <v/>
      </c>
    </row>
    <row r="62">
      <c r="M62" s="9">
        <f>IF(OR(F62="",G62="",H62=""),"",ROUND(F62*G62*H62/1000000,4))</f>
        <v/>
      </c>
      <c r="N62" s="9">
        <f>IF(OR(M62="",L62=""),"",ROUND(M62*VALUE(L62),2))</f>
        <v/>
      </c>
    </row>
    <row r="63">
      <c r="M63" s="9">
        <f>IF(OR(F63="",G63="",H63=""),"",ROUND(F63*G63*H63/1000000,4))</f>
        <v/>
      </c>
      <c r="N63" s="9">
        <f>IF(OR(M63="",L63=""),"",ROUND(M63*VALUE(L63),2))</f>
        <v/>
      </c>
    </row>
    <row r="64">
      <c r="M64" s="9">
        <f>IF(OR(F64="",G64="",H64=""),"",ROUND(F64*G64*H64/1000000,4))</f>
        <v/>
      </c>
      <c r="N64" s="9">
        <f>IF(OR(M64="",L64=""),"",ROUND(M64*VALUE(L64),2))</f>
        <v/>
      </c>
    </row>
    <row r="65">
      <c r="M65" s="9">
        <f>IF(OR(F65="",G65="",H65=""),"",ROUND(F65*G65*H65/1000000,4))</f>
        <v/>
      </c>
      <c r="N65" s="9">
        <f>IF(OR(M65="",L65=""),"",ROUND(M65*VALUE(L65),2))</f>
        <v/>
      </c>
    </row>
    <row r="66">
      <c r="M66" s="9">
        <f>IF(OR(F66="",G66="",H66=""),"",ROUND(F66*G66*H66/1000000,4))</f>
        <v/>
      </c>
      <c r="N66" s="9">
        <f>IF(OR(M66="",L66=""),"",ROUND(M66*VALUE(L66),2))</f>
        <v/>
      </c>
    </row>
    <row r="67">
      <c r="M67" s="9">
        <f>IF(OR(F67="",G67="",H67=""),"",ROUND(F67*G67*H67/1000000,4))</f>
        <v/>
      </c>
      <c r="N67" s="9">
        <f>IF(OR(M67="",L67=""),"",ROUND(M67*VALUE(L67),2))</f>
        <v/>
      </c>
    </row>
    <row r="68">
      <c r="M68" s="9">
        <f>IF(OR(F68="",G68="",H68=""),"",ROUND(F68*G68*H68/1000000,4))</f>
        <v/>
      </c>
      <c r="N68" s="9">
        <f>IF(OR(M68="",L68=""),"",ROUND(M68*VALUE(L68),2))</f>
        <v/>
      </c>
    </row>
    <row r="69">
      <c r="M69" s="9">
        <f>IF(OR(F69="",G69="",H69=""),"",ROUND(F69*G69*H69/1000000,4))</f>
        <v/>
      </c>
      <c r="N69" s="9">
        <f>IF(OR(M69="",L69=""),"",ROUND(M69*VALUE(L69),2))</f>
        <v/>
      </c>
    </row>
    <row r="70">
      <c r="M70" s="9">
        <f>IF(OR(F70="",G70="",H70=""),"",ROUND(F70*G70*H70/1000000,4))</f>
        <v/>
      </c>
      <c r="N70" s="9">
        <f>IF(OR(M70="",L70=""),"",ROUND(M70*VALUE(L70),2))</f>
        <v/>
      </c>
    </row>
    <row r="71">
      <c r="M71" s="9">
        <f>IF(OR(F71="",G71="",H71=""),"",ROUND(F71*G71*H71/1000000,4))</f>
        <v/>
      </c>
      <c r="N71" s="9">
        <f>IF(OR(M71="",L71=""),"",ROUND(M71*VALUE(L71),2))</f>
        <v/>
      </c>
    </row>
    <row r="72">
      <c r="M72" s="9">
        <f>IF(OR(F72="",G72="",H72=""),"",ROUND(F72*G72*H72/1000000,4))</f>
        <v/>
      </c>
      <c r="N72" s="9">
        <f>IF(OR(M72="",L72=""),"",ROUND(M72*VALUE(L72),2))</f>
        <v/>
      </c>
    </row>
    <row r="73">
      <c r="M73" s="9">
        <f>IF(OR(F73="",G73="",H73=""),"",ROUND(F73*G73*H73/1000000,4))</f>
        <v/>
      </c>
      <c r="N73" s="9">
        <f>IF(OR(M73="",L73=""),"",ROUND(M73*VALUE(L73),2))</f>
        <v/>
      </c>
    </row>
    <row r="74">
      <c r="M74" s="9">
        <f>IF(OR(F74="",G74="",H74=""),"",ROUND(F74*G74*H74/1000000,4))</f>
        <v/>
      </c>
      <c r="N74" s="9">
        <f>IF(OR(M74="",L74=""),"",ROUND(M74*VALUE(L74),2))</f>
        <v/>
      </c>
    </row>
    <row r="75">
      <c r="M75" s="9">
        <f>IF(OR(F75="",G75="",H75=""),"",ROUND(F75*G75*H75/1000000,4))</f>
        <v/>
      </c>
      <c r="N75" s="9">
        <f>IF(OR(M75="",L75=""),"",ROUND(M75*VALUE(L75),2))</f>
        <v/>
      </c>
    </row>
    <row r="76">
      <c r="M76" s="9">
        <f>IF(OR(F76="",G76="",H76=""),"",ROUND(F76*G76*H76/1000000,4))</f>
        <v/>
      </c>
      <c r="N76" s="9">
        <f>IF(OR(M76="",L76=""),"",ROUND(M76*VALUE(L76),2))</f>
        <v/>
      </c>
    </row>
    <row r="77">
      <c r="M77" s="9">
        <f>IF(OR(F77="",G77="",H77=""),"",ROUND(F77*G77*H77/1000000,4))</f>
        <v/>
      </c>
      <c r="N77" s="9">
        <f>IF(OR(M77="",L77=""),"",ROUND(M77*VALUE(L77),2))</f>
        <v/>
      </c>
    </row>
    <row r="78">
      <c r="M78" s="9">
        <f>IF(OR(F78="",G78="",H78=""),"",ROUND(F78*G78*H78/1000000,4))</f>
        <v/>
      </c>
      <c r="N78" s="9">
        <f>IF(OR(M78="",L78=""),"",ROUND(M78*VALUE(L78),2))</f>
        <v/>
      </c>
    </row>
    <row r="79">
      <c r="M79" s="9">
        <f>IF(OR(F79="",G79="",H79=""),"",ROUND(F79*G79*H79/1000000,4))</f>
        <v/>
      </c>
      <c r="N79" s="9">
        <f>IF(OR(M79="",L79=""),"",ROUND(M79*VALUE(L79),2))</f>
        <v/>
      </c>
    </row>
    <row r="80">
      <c r="M80" s="9">
        <f>IF(OR(F80="",G80="",H80=""),"",ROUND(F80*G80*H80/1000000,4))</f>
        <v/>
      </c>
      <c r="N80" s="9">
        <f>IF(OR(M80="",L80=""),"",ROUND(M80*VALUE(L80),2))</f>
        <v/>
      </c>
    </row>
    <row r="81">
      <c r="M81" s="9">
        <f>IF(OR(F81="",G81="",H81=""),"",ROUND(F81*G81*H81/1000000,4))</f>
        <v/>
      </c>
      <c r="N81" s="9">
        <f>IF(OR(M81="",L81=""),"",ROUND(M81*VALUE(L81),2))</f>
        <v/>
      </c>
    </row>
    <row r="82">
      <c r="M82" s="9">
        <f>IF(OR(F82="",G82="",H82=""),"",ROUND(F82*G82*H82/1000000,4))</f>
        <v/>
      </c>
      <c r="N82" s="9">
        <f>IF(OR(M82="",L82=""),"",ROUND(M82*VALUE(L82),2))</f>
        <v/>
      </c>
    </row>
    <row r="83">
      <c r="M83" s="9">
        <f>IF(OR(F83="",G83="",H83=""),"",ROUND(F83*G83*H83/1000000,4))</f>
        <v/>
      </c>
      <c r="N83" s="9">
        <f>IF(OR(M83="",L83=""),"",ROUND(M83*VALUE(L83),2))</f>
        <v/>
      </c>
    </row>
    <row r="84">
      <c r="M84" s="9">
        <f>IF(OR(F84="",G84="",H84=""),"",ROUND(F84*G84*H84/1000000,4))</f>
        <v/>
      </c>
      <c r="N84" s="9">
        <f>IF(OR(M84="",L84=""),"",ROUND(M84*VALUE(L84),2))</f>
        <v/>
      </c>
    </row>
    <row r="85">
      <c r="M85" s="9">
        <f>IF(OR(F85="",G85="",H85=""),"",ROUND(F85*G85*H85/1000000,4))</f>
        <v/>
      </c>
      <c r="N85" s="9">
        <f>IF(OR(M85="",L85=""),"",ROUND(M85*VALUE(L85),2))</f>
        <v/>
      </c>
    </row>
    <row r="86">
      <c r="M86" s="9">
        <f>IF(OR(F86="",G86="",H86=""),"",ROUND(F86*G86*H86/1000000,4))</f>
        <v/>
      </c>
      <c r="N86" s="9">
        <f>IF(OR(M86="",L86=""),"",ROUND(M86*VALUE(L86),2))</f>
        <v/>
      </c>
    </row>
    <row r="87">
      <c r="M87" s="9">
        <f>IF(OR(F87="",G87="",H87=""),"",ROUND(F87*G87*H87/1000000,4))</f>
        <v/>
      </c>
      <c r="N87" s="9">
        <f>IF(OR(M87="",L87=""),"",ROUND(M87*VALUE(L87),2))</f>
        <v/>
      </c>
    </row>
    <row r="88">
      <c r="M88" s="9">
        <f>IF(OR(F88="",G88="",H88=""),"",ROUND(F88*G88*H88/1000000,4))</f>
        <v/>
      </c>
      <c r="N88" s="9">
        <f>IF(OR(M88="",L88=""),"",ROUND(M88*VALUE(L88),2))</f>
        <v/>
      </c>
    </row>
    <row r="89">
      <c r="M89" s="9">
        <f>IF(OR(F89="",G89="",H89=""),"",ROUND(F89*G89*H89/1000000,4))</f>
        <v/>
      </c>
      <c r="N89" s="9">
        <f>IF(OR(M89="",L89=""),"",ROUND(M89*VALUE(L89),2))</f>
        <v/>
      </c>
    </row>
    <row r="90">
      <c r="M90" s="9">
        <f>IF(OR(F90="",G90="",H90=""),"",ROUND(F90*G90*H90/1000000,4))</f>
        <v/>
      </c>
      <c r="N90" s="9">
        <f>IF(OR(M90="",L90=""),"",ROUND(M90*VALUE(L90),2))</f>
        <v/>
      </c>
    </row>
    <row r="91">
      <c r="M91" s="9">
        <f>IF(OR(F91="",G91="",H91=""),"",ROUND(F91*G91*H91/1000000,4))</f>
        <v/>
      </c>
      <c r="N91" s="9">
        <f>IF(OR(M91="",L91=""),"",ROUND(M91*VALUE(L91),2))</f>
        <v/>
      </c>
    </row>
    <row r="92">
      <c r="M92" s="9">
        <f>IF(OR(F92="",G92="",H92=""),"",ROUND(F92*G92*H92/1000000,4))</f>
        <v/>
      </c>
      <c r="N92" s="9">
        <f>IF(OR(M92="",L92=""),"",ROUND(M92*VALUE(L92),2))</f>
        <v/>
      </c>
    </row>
    <row r="93">
      <c r="M93" s="9">
        <f>IF(OR(F93="",G93="",H93=""),"",ROUND(F93*G93*H93/1000000,4))</f>
        <v/>
      </c>
      <c r="N93" s="9">
        <f>IF(OR(M93="",L93=""),"",ROUND(M93*VALUE(L93),2))</f>
        <v/>
      </c>
    </row>
    <row r="94">
      <c r="M94" s="9">
        <f>IF(OR(F94="",G94="",H94=""),"",ROUND(F94*G94*H94/1000000,4))</f>
        <v/>
      </c>
      <c r="N94" s="9">
        <f>IF(OR(M94="",L94=""),"",ROUND(M94*VALUE(L94),2))</f>
        <v/>
      </c>
    </row>
    <row r="95">
      <c r="M95" s="9">
        <f>IF(OR(F95="",G95="",H95=""),"",ROUND(F95*G95*H95/1000000,4))</f>
        <v/>
      </c>
      <c r="N95" s="9">
        <f>IF(OR(M95="",L95=""),"",ROUND(M95*VALUE(L95),2))</f>
        <v/>
      </c>
    </row>
    <row r="96">
      <c r="M96" s="9">
        <f>IF(OR(F96="",G96="",H96=""),"",ROUND(F96*G96*H96/1000000,4))</f>
        <v/>
      </c>
      <c r="N96" s="9">
        <f>IF(OR(M96="",L96=""),"",ROUND(M96*VALUE(L96),2))</f>
        <v/>
      </c>
    </row>
    <row r="97">
      <c r="M97" s="9">
        <f>IF(OR(F97="",G97="",H97=""),"",ROUND(F97*G97*H97/1000000,4))</f>
        <v/>
      </c>
      <c r="N97" s="9">
        <f>IF(OR(M97="",L97=""),"",ROUND(M97*VALUE(L97),2))</f>
        <v/>
      </c>
    </row>
    <row r="98">
      <c r="M98" s="9">
        <f>IF(OR(F98="",G98="",H98=""),"",ROUND(F98*G98*H98/1000000,4))</f>
        <v/>
      </c>
      <c r="N98" s="9">
        <f>IF(OR(M98="",L98=""),"",ROUND(M98*VALUE(L98),2))</f>
        <v/>
      </c>
    </row>
    <row r="99">
      <c r="M99" s="9">
        <f>IF(OR(F99="",G99="",H99=""),"",ROUND(F99*G99*H99/1000000,4))</f>
        <v/>
      </c>
      <c r="N99" s="9">
        <f>IF(OR(M99="",L99=""),"",ROUND(M99*VALUE(L99),2))</f>
        <v/>
      </c>
    </row>
    <row r="100">
      <c r="M100" s="9">
        <f>IF(OR(F100="",G100="",H100=""),"",ROUND(F100*G100*H100/1000000,4))</f>
        <v/>
      </c>
      <c r="N100" s="9">
        <f>IF(OR(M100="",L100=""),"",ROUND(M100*VALUE(L100),2))</f>
        <v/>
      </c>
    </row>
    <row r="101">
      <c r="M101" s="9">
        <f>IF(OR(F101="",G101="",H101=""),"",ROUND(F101*G101*H101/1000000,4))</f>
        <v/>
      </c>
      <c r="N101" s="9">
        <f>IF(OR(M101="",L101=""),"",ROUND(M101*VALUE(L101),2))</f>
        <v/>
      </c>
    </row>
    <row r="102">
      <c r="M102" s="9">
        <f>IF(OR(F102="",G102="",H102=""),"",ROUND(F102*G102*H102/1000000,4))</f>
        <v/>
      </c>
      <c r="N102" s="9">
        <f>IF(OR(M102="",L102=""),"",ROUND(M102*VALUE(L102),2))</f>
        <v/>
      </c>
    </row>
    <row r="103">
      <c r="M103" s="9">
        <f>IF(OR(F103="",G103="",H103=""),"",ROUND(F103*G103*H103/1000000,4))</f>
        <v/>
      </c>
      <c r="N103" s="9">
        <f>IF(OR(M103="",L103=""),"",ROUND(M103*VALUE(L103),2))</f>
        <v/>
      </c>
    </row>
    <row r="104">
      <c r="M104" s="9">
        <f>IF(OR(F104="",G104="",H104=""),"",ROUND(F104*G104*H104/1000000,4))</f>
        <v/>
      </c>
      <c r="N104" s="9">
        <f>IF(OR(M104="",L104=""),"",ROUND(M104*VALUE(L104),2))</f>
        <v/>
      </c>
    </row>
    <row r="105">
      <c r="M105" s="9">
        <f>IF(OR(F105="",G105="",H105=""),"",ROUND(F105*G105*H105/1000000,4))</f>
        <v/>
      </c>
      <c r="N105" s="9">
        <f>IF(OR(M105="",L105=""),"",ROUND(M105*VALUE(L105),2))</f>
        <v/>
      </c>
    </row>
    <row r="106">
      <c r="M106" s="9">
        <f>IF(OR(F106="",G106="",H106=""),"",ROUND(F106*G106*H106/1000000,4))</f>
        <v/>
      </c>
      <c r="N106" s="9">
        <f>IF(OR(M106="",L106=""),"",ROUND(M106*VALUE(L106),2))</f>
        <v/>
      </c>
    </row>
    <row r="107">
      <c r="M107" s="9">
        <f>IF(OR(F107="",G107="",H107=""),"",ROUND(F107*G107*H107/1000000,4))</f>
        <v/>
      </c>
      <c r="N107" s="9">
        <f>IF(OR(M107="",L107=""),"",ROUND(M107*VALUE(L107),2))</f>
        <v/>
      </c>
    </row>
    <row r="108">
      <c r="M108" s="9">
        <f>IF(OR(F108="",G108="",H108=""),"",ROUND(F108*G108*H108/1000000,4))</f>
        <v/>
      </c>
      <c r="N108" s="9">
        <f>IF(OR(M108="",L108=""),"",ROUND(M108*VALUE(L108),2))</f>
        <v/>
      </c>
    </row>
    <row r="109">
      <c r="M109" s="9">
        <f>IF(OR(F109="",G109="",H109=""),"",ROUND(F109*G109*H109/1000000,4))</f>
        <v/>
      </c>
      <c r="N109" s="9">
        <f>IF(OR(M109="",L109=""),"",ROUND(M109*VALUE(L109),2))</f>
        <v/>
      </c>
    </row>
    <row r="110">
      <c r="M110" s="9">
        <f>IF(OR(F110="",G110="",H110=""),"",ROUND(F110*G110*H110/1000000,4))</f>
        <v/>
      </c>
      <c r="N110" s="9">
        <f>IF(OR(M110="",L110=""),"",ROUND(M110*VALUE(L110),2))</f>
        <v/>
      </c>
    </row>
    <row r="111">
      <c r="M111" s="9">
        <f>IF(OR(F111="",G111="",H111=""),"",ROUND(F111*G111*H111/1000000,4))</f>
        <v/>
      </c>
      <c r="N111" s="9">
        <f>IF(OR(M111="",L111=""),"",ROUND(M111*VALUE(L111),2))</f>
        <v/>
      </c>
    </row>
    <row r="112">
      <c r="M112" s="9">
        <f>IF(OR(F112="",G112="",H112=""),"",ROUND(F112*G112*H112/1000000,4))</f>
        <v/>
      </c>
      <c r="N112" s="9">
        <f>IF(OR(M112="",L112=""),"",ROUND(M112*VALUE(L112),2))</f>
        <v/>
      </c>
    </row>
    <row r="113">
      <c r="M113" s="9">
        <f>IF(OR(F113="",G113="",H113=""),"",ROUND(F113*G113*H113/1000000,4))</f>
        <v/>
      </c>
      <c r="N113" s="9">
        <f>IF(OR(M113="",L113=""),"",ROUND(M113*VALUE(L113),2))</f>
        <v/>
      </c>
    </row>
    <row r="114">
      <c r="M114" s="9">
        <f>IF(OR(F114="",G114="",H114=""),"",ROUND(F114*G114*H114/1000000,4))</f>
        <v/>
      </c>
      <c r="N114" s="9">
        <f>IF(OR(M114="",L114=""),"",ROUND(M114*VALUE(L114),2))</f>
        <v/>
      </c>
    </row>
    <row r="115">
      <c r="M115" s="9">
        <f>IF(OR(F115="",G115="",H115=""),"",ROUND(F115*G115*H115/1000000,4))</f>
        <v/>
      </c>
      <c r="N115" s="9">
        <f>IF(OR(M115="",L115=""),"",ROUND(M115*VALUE(L115),2))</f>
        <v/>
      </c>
    </row>
    <row r="116">
      <c r="M116" s="9">
        <f>IF(OR(F116="",G116="",H116=""),"",ROUND(F116*G116*H116/1000000,4))</f>
        <v/>
      </c>
      <c r="N116" s="9">
        <f>IF(OR(M116="",L116=""),"",ROUND(M116*VALUE(L116),2))</f>
        <v/>
      </c>
    </row>
    <row r="117">
      <c r="M117" s="9">
        <f>IF(OR(F117="",G117="",H117=""),"",ROUND(F117*G117*H117/1000000,4))</f>
        <v/>
      </c>
      <c r="N117" s="9">
        <f>IF(OR(M117="",L117=""),"",ROUND(M117*VALUE(L117),2))</f>
        <v/>
      </c>
    </row>
    <row r="118">
      <c r="M118" s="9">
        <f>IF(OR(F118="",G118="",H118=""),"",ROUND(F118*G118*H118/1000000,4))</f>
        <v/>
      </c>
      <c r="N118" s="9">
        <f>IF(OR(M118="",L118=""),"",ROUND(M118*VALUE(L118),2))</f>
        <v/>
      </c>
    </row>
    <row r="119">
      <c r="M119" s="9">
        <f>IF(OR(F119="",G119="",H119=""),"",ROUND(F119*G119*H119/1000000,4))</f>
        <v/>
      </c>
      <c r="N119" s="9">
        <f>IF(OR(M119="",L119=""),"",ROUND(M119*VALUE(L119),2))</f>
        <v/>
      </c>
    </row>
    <row r="120">
      <c r="M120" s="9">
        <f>IF(OR(F120="",G120="",H120=""),"",ROUND(F120*G120*H120/1000000,4))</f>
        <v/>
      </c>
      <c r="N120" s="9">
        <f>IF(OR(M120="",L120=""),"",ROUND(M120*VALUE(L120),2))</f>
        <v/>
      </c>
    </row>
    <row r="121">
      <c r="M121" s="9">
        <f>IF(OR(F121="",G121="",H121=""),"",ROUND(F121*G121*H121/1000000,4))</f>
        <v/>
      </c>
      <c r="N121" s="9">
        <f>IF(OR(M121="",L121=""),"",ROUND(M121*VALUE(L121),2))</f>
        <v/>
      </c>
    </row>
    <row r="122">
      <c r="M122" s="9">
        <f>IF(OR(F122="",G122="",H122=""),"",ROUND(F122*G122*H122/1000000,4))</f>
        <v/>
      </c>
      <c r="N122" s="9">
        <f>IF(OR(M122="",L122=""),"",ROUND(M122*VALUE(L122),2))</f>
        <v/>
      </c>
    </row>
    <row r="123">
      <c r="M123" s="9">
        <f>IF(OR(F123="",G123="",H123=""),"",ROUND(F123*G123*H123/1000000,4))</f>
        <v/>
      </c>
      <c r="N123" s="9">
        <f>IF(OR(M123="",L123=""),"",ROUND(M123*VALUE(L123),2))</f>
        <v/>
      </c>
    </row>
    <row r="124">
      <c r="M124" s="9">
        <f>IF(OR(F124="",G124="",H124=""),"",ROUND(F124*G124*H124/1000000,4))</f>
        <v/>
      </c>
      <c r="N124" s="9">
        <f>IF(OR(M124="",L124=""),"",ROUND(M124*VALUE(L124),2))</f>
        <v/>
      </c>
    </row>
    <row r="125">
      <c r="M125" s="9">
        <f>IF(OR(F125="",G125="",H125=""),"",ROUND(F125*G125*H125/1000000,4))</f>
        <v/>
      </c>
      <c r="N125" s="9">
        <f>IF(OR(M125="",L125=""),"",ROUND(M125*VALUE(L125),2))</f>
        <v/>
      </c>
    </row>
    <row r="126">
      <c r="M126" s="9">
        <f>IF(OR(F126="",G126="",H126=""),"",ROUND(F126*G126*H126/1000000,4))</f>
        <v/>
      </c>
      <c r="N126" s="9">
        <f>IF(OR(M126="",L126=""),"",ROUND(M126*VALUE(L126),2))</f>
        <v/>
      </c>
    </row>
    <row r="127">
      <c r="M127" s="9">
        <f>IF(OR(F127="",G127="",H127=""),"",ROUND(F127*G127*H127/1000000,4))</f>
        <v/>
      </c>
      <c r="N127" s="9">
        <f>IF(OR(M127="",L127=""),"",ROUND(M127*VALUE(L127),2))</f>
        <v/>
      </c>
    </row>
    <row r="128">
      <c r="M128" s="9">
        <f>IF(OR(F128="",G128="",H128=""),"",ROUND(F128*G128*H128/1000000,4))</f>
        <v/>
      </c>
      <c r="N128" s="9">
        <f>IF(OR(M128="",L128=""),"",ROUND(M128*VALUE(L128),2))</f>
        <v/>
      </c>
    </row>
    <row r="129">
      <c r="M129" s="9">
        <f>IF(OR(F129="",G129="",H129=""),"",ROUND(F129*G129*H129/1000000,4))</f>
        <v/>
      </c>
      <c r="N129" s="9">
        <f>IF(OR(M129="",L129=""),"",ROUND(M129*VALUE(L129),2))</f>
        <v/>
      </c>
    </row>
    <row r="130">
      <c r="M130" s="9">
        <f>IF(OR(F130="",G130="",H130=""),"",ROUND(F130*G130*H130/1000000,4))</f>
        <v/>
      </c>
      <c r="N130" s="9">
        <f>IF(OR(M130="",L130=""),"",ROUND(M130*VALUE(L130),2))</f>
        <v/>
      </c>
    </row>
    <row r="131">
      <c r="M131" s="9">
        <f>IF(OR(F131="",G131="",H131=""),"",ROUND(F131*G131*H131/1000000,4))</f>
        <v/>
      </c>
      <c r="N131" s="9">
        <f>IF(OR(M131="",L131=""),"",ROUND(M131*VALUE(L131),2))</f>
        <v/>
      </c>
    </row>
    <row r="132">
      <c r="M132" s="9">
        <f>IF(OR(F132="",G132="",H132=""),"",ROUND(F132*G132*H132/1000000,4))</f>
        <v/>
      </c>
      <c r="N132" s="9">
        <f>IF(OR(M132="",L132=""),"",ROUND(M132*VALUE(L132),2))</f>
        <v/>
      </c>
    </row>
    <row r="133">
      <c r="M133" s="9">
        <f>IF(OR(F133="",G133="",H133=""),"",ROUND(F133*G133*H133/1000000,4))</f>
        <v/>
      </c>
      <c r="N133" s="9">
        <f>IF(OR(M133="",L133=""),"",ROUND(M133*VALUE(L133),2))</f>
        <v/>
      </c>
    </row>
    <row r="134">
      <c r="M134" s="9">
        <f>IF(OR(F134="",G134="",H134=""),"",ROUND(F134*G134*H134/1000000,4))</f>
        <v/>
      </c>
      <c r="N134" s="9">
        <f>IF(OR(M134="",L134=""),"",ROUND(M134*VALUE(L134),2))</f>
        <v/>
      </c>
    </row>
    <row r="135">
      <c r="M135" s="9">
        <f>IF(OR(F135="",G135="",H135=""),"",ROUND(F135*G135*H135/1000000,4))</f>
        <v/>
      </c>
      <c r="N135" s="9">
        <f>IF(OR(M135="",L135=""),"",ROUND(M135*VALUE(L135),2))</f>
        <v/>
      </c>
    </row>
    <row r="136">
      <c r="M136" s="9">
        <f>IF(OR(F136="",G136="",H136=""),"",ROUND(F136*G136*H136/1000000,4))</f>
        <v/>
      </c>
      <c r="N136" s="9">
        <f>IF(OR(M136="",L136=""),"",ROUND(M136*VALUE(L136),2))</f>
        <v/>
      </c>
    </row>
    <row r="137">
      <c r="M137" s="9">
        <f>IF(OR(F137="",G137="",H137=""),"",ROUND(F137*G137*H137/1000000,4))</f>
        <v/>
      </c>
      <c r="N137" s="9">
        <f>IF(OR(M137="",L137=""),"",ROUND(M137*VALUE(L137),2))</f>
        <v/>
      </c>
    </row>
    <row r="138">
      <c r="M138" s="9">
        <f>IF(OR(F138="",G138="",H138=""),"",ROUND(F138*G138*H138/1000000,4))</f>
        <v/>
      </c>
      <c r="N138" s="9">
        <f>IF(OR(M138="",L138=""),"",ROUND(M138*VALUE(L138),2))</f>
        <v/>
      </c>
    </row>
    <row r="139">
      <c r="M139" s="9">
        <f>IF(OR(F139="",G139="",H139=""),"",ROUND(F139*G139*H139/1000000,4))</f>
        <v/>
      </c>
      <c r="N139" s="9">
        <f>IF(OR(M139="",L139=""),"",ROUND(M139*VALUE(L139),2))</f>
        <v/>
      </c>
    </row>
    <row r="140">
      <c r="M140" s="9">
        <f>IF(OR(F140="",G140="",H140=""),"",ROUND(F140*G140*H140/1000000,4))</f>
        <v/>
      </c>
      <c r="N140" s="9">
        <f>IF(OR(M140="",L140=""),"",ROUND(M140*VALUE(L140),2))</f>
        <v/>
      </c>
    </row>
    <row r="141">
      <c r="M141" s="9">
        <f>IF(OR(F141="",G141="",H141=""),"",ROUND(F141*G141*H141/1000000,4))</f>
        <v/>
      </c>
      <c r="N141" s="9">
        <f>IF(OR(M141="",L141=""),"",ROUND(M141*VALUE(L141),2))</f>
        <v/>
      </c>
    </row>
    <row r="142">
      <c r="M142" s="9">
        <f>IF(OR(F142="",G142="",H142=""),"",ROUND(F142*G142*H142/1000000,4))</f>
        <v/>
      </c>
      <c r="N142" s="9">
        <f>IF(OR(M142="",L142=""),"",ROUND(M142*VALUE(L142),2))</f>
        <v/>
      </c>
    </row>
    <row r="143">
      <c r="M143" s="9">
        <f>IF(OR(F143="",G143="",H143=""),"",ROUND(F143*G143*H143/1000000,4))</f>
        <v/>
      </c>
      <c r="N143" s="9">
        <f>IF(OR(M143="",L143=""),"",ROUND(M143*VALUE(L143),2))</f>
        <v/>
      </c>
    </row>
    <row r="144">
      <c r="M144" s="9">
        <f>IF(OR(F144="",G144="",H144=""),"",ROUND(F144*G144*H144/1000000,4))</f>
        <v/>
      </c>
      <c r="N144" s="9">
        <f>IF(OR(M144="",L144=""),"",ROUND(M144*VALUE(L144),2))</f>
        <v/>
      </c>
    </row>
    <row r="145">
      <c r="M145" s="9">
        <f>IF(OR(F145="",G145="",H145=""),"",ROUND(F145*G145*H145/1000000,4))</f>
        <v/>
      </c>
      <c r="N145" s="9">
        <f>IF(OR(M145="",L145=""),"",ROUND(M145*VALUE(L145),2))</f>
        <v/>
      </c>
    </row>
    <row r="146">
      <c r="M146" s="9">
        <f>IF(OR(F146="",G146="",H146=""),"",ROUND(F146*G146*H146/1000000,4))</f>
        <v/>
      </c>
      <c r="N146" s="9">
        <f>IF(OR(M146="",L146=""),"",ROUND(M146*VALUE(L146),2))</f>
        <v/>
      </c>
    </row>
    <row r="147">
      <c r="M147" s="9">
        <f>IF(OR(F147="",G147="",H147=""),"",ROUND(F147*G147*H147/1000000,4))</f>
        <v/>
      </c>
      <c r="N147" s="9">
        <f>IF(OR(M147="",L147=""),"",ROUND(M147*VALUE(L147),2))</f>
        <v/>
      </c>
    </row>
    <row r="148">
      <c r="M148" s="9">
        <f>IF(OR(F148="",G148="",H148=""),"",ROUND(F148*G148*H148/1000000,4))</f>
        <v/>
      </c>
      <c r="N148" s="9">
        <f>IF(OR(M148="",L148=""),"",ROUND(M148*VALUE(L148),2))</f>
        <v/>
      </c>
    </row>
    <row r="149">
      <c r="M149" s="9">
        <f>IF(OR(F149="",G149="",H149=""),"",ROUND(F149*G149*H149/1000000,4))</f>
        <v/>
      </c>
      <c r="N149" s="9">
        <f>IF(OR(M149="",L149=""),"",ROUND(M149*VALUE(L149),2))</f>
        <v/>
      </c>
    </row>
    <row r="150">
      <c r="M150" s="9">
        <f>IF(OR(F150="",G150="",H150=""),"",ROUND(F150*G150*H150/1000000,4))</f>
        <v/>
      </c>
      <c r="N150" s="9">
        <f>IF(OR(M150="",L150=""),"",ROUND(M150*VALUE(L150),2))</f>
        <v/>
      </c>
    </row>
    <row r="151">
      <c r="M151" s="9">
        <f>IF(OR(F151="",G151="",H151=""),"",ROUND(F151*G151*H151/1000000,4))</f>
        <v/>
      </c>
      <c r="N151" s="9">
        <f>IF(OR(M151="",L151=""),"",ROUND(M151*VALUE(L151),2))</f>
        <v/>
      </c>
    </row>
    <row r="152">
      <c r="M152" s="9">
        <f>IF(OR(F152="",G152="",H152=""),"",ROUND(F152*G152*H152/1000000,4))</f>
        <v/>
      </c>
      <c r="N152" s="9">
        <f>IF(OR(M152="",L152=""),"",ROUND(M152*VALUE(L152),2))</f>
        <v/>
      </c>
    </row>
    <row r="153">
      <c r="M153" s="9">
        <f>IF(OR(F153="",G153="",H153=""),"",ROUND(F153*G153*H153/1000000,4))</f>
        <v/>
      </c>
      <c r="N153" s="9">
        <f>IF(OR(M153="",L153=""),"",ROUND(M153*VALUE(L153),2))</f>
        <v/>
      </c>
    </row>
    <row r="154">
      <c r="A154" s="10" t="inlineStr">
        <is>
          <t>TOTAL  (auto · delete this row before importing)</t>
        </is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2">
        <f>SUM(M4:M153)</f>
        <v/>
      </c>
      <c r="N154" s="12">
        <f>SUM(N4:N153)</f>
        <v/>
      </c>
    </row>
  </sheetData>
  <mergeCells count="2">
    <mergeCell ref="A154:L154"/>
    <mergeCell ref="A1:N1"/>
  </mergeCells>
  <dataValidations count="6">
    <dataValidation sqref="D4:D153" showDropDown="0" showInputMessage="0" showErrorMessage="0" allowBlank="1" type="list">
      <formula1>"1,2,3,4,5,6,7,8,9,10,99"</formula1>
    </dataValidation>
    <dataValidation sqref="E4:E153" showDropDown="0" showInputMessage="0" showErrorMessage="0" allowBlank="1" type="list">
      <formula1>"Ganesh,Bhaskar,Shankrappa,Amaresh,Ramanna,Mallappa,Yamanappa,Pomanna"</formula1>
    </dataValidation>
    <dataValidation sqref="I4:I153" showDropDown="0" showInputMessage="0" showErrorMessage="0" allowBlank="1" type="list">
      <formula1>"In Stock,Buyer Marked,In Delivery Challan,At Port,At Bannikoppa Station yard,Shipped"</formula1>
    </dataValidation>
    <dataValidation sqref="J4:J153" showDropDown="0" showInputMessage="0" showErrorMessage="0" allowBlank="1" type="list">
      <formula1>"A,B,C,D,B1,Unshaped"</formula1>
    </dataValidation>
    <dataValidation sqref="K4:K153" showDropDown="0" showInputMessage="0" showErrorMessage="0" allowBlank="1" type="list">
      <formula1>"A,B,C"</formula1>
    </dataValidation>
    <dataValidation sqref="L4:L153" showDropDown="0" showInputMessage="0" showErrorMessage="0" allowBlank="1" type="list">
      <formula1>"2.35,2.40,2.45,2.50,2.55,2.60,2.64,2.65,2.70,2.75,2.80,2.85,2.90,2.95,3.00"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2026-06-14T18:24:07Z</dcterms:created>
  <dcterms:modified xmlns:dcterms="http://purl.org/dc/terms/" xmlns:xsi="http://www.w3.org/2001/XMLSchema-instance" xsi:type="dcterms:W3CDTF">2026-06-14T18:24:07Z</dcterms:modified>
</cp:coreProperties>
</file>